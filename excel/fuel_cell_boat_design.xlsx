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na\github\pem-fuel-cell-boat-design\excel\"/>
    </mc:Choice>
  </mc:AlternateContent>
  <xr:revisionPtr revIDLastSave="0" documentId="13_ncr:1_{3D3DAF59-F219-4BF8-A99A-F54A5B06C200}" xr6:coauthVersionLast="47" xr6:coauthVersionMax="47" xr10:uidLastSave="{00000000-0000-0000-0000-000000000000}"/>
  <bookViews>
    <workbookView xWindow="10640" yWindow="170" windowWidth="8230" windowHeight="9910" xr2:uid="{00000000-000D-0000-FFFF-FFFF00000000}"/>
  </bookViews>
  <sheets>
    <sheet name="De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1" l="1"/>
  <c r="J119" i="1"/>
  <c r="F109" i="1"/>
  <c r="J102" i="1"/>
  <c r="O72" i="1"/>
  <c r="K72" i="1"/>
  <c r="K64" i="1"/>
  <c r="B50" i="1"/>
  <c r="J88" i="1" s="1"/>
  <c r="B49" i="1"/>
  <c r="F100" i="1" s="1"/>
  <c r="B46" i="1"/>
  <c r="B33" i="1"/>
  <c r="F140" i="1" s="1"/>
  <c r="B32" i="1"/>
  <c r="B39" i="1" s="1"/>
  <c r="B30" i="1"/>
  <c r="B31" i="1" s="1"/>
  <c r="D18" i="1"/>
  <c r="F90" i="1" s="1"/>
  <c r="F106" i="1" l="1"/>
  <c r="F94" i="1"/>
  <c r="F95" i="1" s="1"/>
  <c r="F96" i="1" s="1"/>
  <c r="F104" i="1" s="1"/>
  <c r="B38" i="1"/>
  <c r="E40" i="1" l="1"/>
  <c r="K40" i="1" s="1"/>
  <c r="H39" i="1"/>
  <c r="E37" i="1"/>
  <c r="K43" i="1"/>
  <c r="E39" i="1"/>
  <c r="F97" i="1" s="1"/>
  <c r="E38" i="1"/>
  <c r="H38" i="1"/>
  <c r="E42" i="1"/>
  <c r="K39" i="1" l="1"/>
  <c r="K41" i="1" s="1"/>
  <c r="H37" i="1"/>
  <c r="F122" i="1"/>
  <c r="J120" i="1" s="1"/>
  <c r="J121" i="1" s="1"/>
  <c r="F64" i="1"/>
  <c r="F65" i="1"/>
  <c r="F87" i="1"/>
  <c r="F89" i="1" s="1"/>
  <c r="F135" i="1" s="1"/>
  <c r="G101" i="1"/>
  <c r="F67" i="1"/>
  <c r="F101" i="1"/>
  <c r="F102" i="1" s="1"/>
  <c r="K42" i="1"/>
  <c r="F107" i="1"/>
  <c r="H65" i="1"/>
  <c r="J87" i="1"/>
  <c r="F136" i="1" s="1"/>
  <c r="F105" i="1"/>
  <c r="K66" i="1" l="1"/>
  <c r="J103" i="1"/>
  <c r="J107" i="1" s="1"/>
  <c r="F134" i="1" s="1"/>
  <c r="F110" i="1"/>
  <c r="F111" i="1" s="1"/>
  <c r="J123" i="1"/>
  <c r="J127" i="1"/>
  <c r="F132" i="1" s="1"/>
  <c r="K44" i="1"/>
  <c r="H68" i="1" s="1"/>
  <c r="I131" i="1" l="1"/>
  <c r="K45" i="1"/>
  <c r="H69" i="1" s="1"/>
  <c r="K67" i="1" s="1"/>
  <c r="K68" i="1" s="1"/>
  <c r="I133" i="1" l="1"/>
  <c r="O73" i="1"/>
  <c r="K73" i="1"/>
  <c r="I132" i="1"/>
  <c r="F131" i="1" s="1"/>
  <c r="O74" i="1" l="1"/>
  <c r="G111" i="1"/>
  <c r="O80" i="1" l="1"/>
  <c r="F133" i="1" s="1"/>
  <c r="F137" i="1" s="1"/>
  <c r="O76" i="1"/>
  <c r="F142" i="1" l="1"/>
  <c r="F139" i="1"/>
  <c r="F141" i="1" s="1"/>
</calcChain>
</file>

<file path=xl/sharedStrings.xml><?xml version="1.0" encoding="utf-8"?>
<sst xmlns="http://schemas.openxmlformats.org/spreadsheetml/2006/main" count="236" uniqueCount="206">
  <si>
    <t>Reference stack (Tang et al., 2006)</t>
  </si>
  <si>
    <t>PEMFC BOAT</t>
  </si>
  <si>
    <t>Values</t>
  </si>
  <si>
    <t>Dimension</t>
  </si>
  <si>
    <t>Fuel pressure (h2 and air)</t>
  </si>
  <si>
    <t>psig</t>
  </si>
  <si>
    <t>Operating Temperature</t>
  </si>
  <si>
    <t>Celcius at most</t>
  </si>
  <si>
    <t>Single cell voltage</t>
  </si>
  <si>
    <t>0.6</t>
  </si>
  <si>
    <t>it can generate between 0.8-0.6</t>
  </si>
  <si>
    <t>i(read from the pol curve</t>
  </si>
  <si>
    <t>1097.6mA/cm2</t>
  </si>
  <si>
    <t>Stack Power</t>
  </si>
  <si>
    <t>W</t>
  </si>
  <si>
    <t>Ncell</t>
  </si>
  <si>
    <t>Vocv</t>
  </si>
  <si>
    <t>Open circuit voltage</t>
  </si>
  <si>
    <t>Nominal voltage</t>
  </si>
  <si>
    <t>25v</t>
  </si>
  <si>
    <t>Voltage must be bigger than 20 v</t>
  </si>
  <si>
    <t>Fuel cell stack output (Vstack)</t>
  </si>
  <si>
    <t>v</t>
  </si>
  <si>
    <t>OPERATING CONDITIONS OF FUEL CELL</t>
  </si>
  <si>
    <t>T</t>
  </si>
  <si>
    <t>353.15</t>
  </si>
  <si>
    <t>K</t>
  </si>
  <si>
    <t>P</t>
  </si>
  <si>
    <t>Pa</t>
  </si>
  <si>
    <t>psig to pa</t>
  </si>
  <si>
    <t>rO2</t>
  </si>
  <si>
    <t>0.21</t>
  </si>
  <si>
    <t>AMBIENT CONDITIONS</t>
  </si>
  <si>
    <t>Tamb</t>
  </si>
  <si>
    <t>℃</t>
  </si>
  <si>
    <t>Pamb</t>
  </si>
  <si>
    <t>Required specifications</t>
  </si>
  <si>
    <t>W_stack</t>
  </si>
  <si>
    <t>kW</t>
  </si>
  <si>
    <t>Vstack</t>
  </si>
  <si>
    <t>V</t>
  </si>
  <si>
    <t>Vcell</t>
  </si>
  <si>
    <t>reference article: 0.6-0.8 V</t>
  </si>
  <si>
    <t>i</t>
  </si>
  <si>
    <t>mA/cm2</t>
  </si>
  <si>
    <t>read from the polarization curve</t>
  </si>
  <si>
    <t>I (W/Vst)</t>
  </si>
  <si>
    <t>A</t>
  </si>
  <si>
    <t>A_cell (I/i)</t>
  </si>
  <si>
    <t>m2</t>
  </si>
  <si>
    <t>unit conversion</t>
  </si>
  <si>
    <t>n_cell (Vst/Vcell)</t>
  </si>
  <si>
    <t>fc efficiency (Vcell/1.482)</t>
  </si>
  <si>
    <t>MASS BALANCE</t>
  </si>
  <si>
    <t>Inlet Flows (g/s)</t>
  </si>
  <si>
    <t>Consumption and Generation</t>
  </si>
  <si>
    <t>Hydrogen Outlet Flow</t>
  </si>
  <si>
    <t>Faraday constant</t>
  </si>
  <si>
    <t>sA/mol</t>
  </si>
  <si>
    <t xml:space="preserve">mh2in </t>
  </si>
  <si>
    <t>mh2cons</t>
  </si>
  <si>
    <t>dead end</t>
  </si>
  <si>
    <t>mh2out</t>
  </si>
  <si>
    <t>0 dead end</t>
  </si>
  <si>
    <t>I=</t>
  </si>
  <si>
    <t>mo2in</t>
  </si>
  <si>
    <t>mo2cons</t>
  </si>
  <si>
    <t>Air Outlet Flow</t>
  </si>
  <si>
    <t>Ncell=</t>
  </si>
  <si>
    <t>mairin</t>
  </si>
  <si>
    <t>mh2ogen</t>
  </si>
  <si>
    <t>mo2out</t>
  </si>
  <si>
    <t>So2</t>
  </si>
  <si>
    <t>assumed (2-3)</t>
  </si>
  <si>
    <t>mn2in</t>
  </si>
  <si>
    <t>mn2out</t>
  </si>
  <si>
    <t>Sh2=</t>
  </si>
  <si>
    <t>dead end and dry</t>
  </si>
  <si>
    <t>mh2oinh2in</t>
  </si>
  <si>
    <t>dry H2</t>
  </si>
  <si>
    <t>mAirout</t>
  </si>
  <si>
    <t>co2in=</t>
  </si>
  <si>
    <t>mh2oinairin</t>
  </si>
  <si>
    <t>mh2oinairout</t>
  </si>
  <si>
    <t>ED=BD (assumption)</t>
  </si>
  <si>
    <t>Mh2</t>
  </si>
  <si>
    <t>g/mol</t>
  </si>
  <si>
    <t>M02</t>
  </si>
  <si>
    <t>mh2oinairout,v</t>
  </si>
  <si>
    <t>Mh2o</t>
  </si>
  <si>
    <t>mh2oinairout,L</t>
  </si>
  <si>
    <t>Mn2</t>
  </si>
  <si>
    <t>Mair</t>
  </si>
  <si>
    <t>Relative Humidity of air</t>
  </si>
  <si>
    <t xml:space="preserve">Pvs </t>
  </si>
  <si>
    <t>Pcathodeout</t>
  </si>
  <si>
    <t>pressure drop assumed as 10%</t>
  </si>
  <si>
    <t>SPECIFIC HEAT (J/gK)</t>
  </si>
  <si>
    <t>HIGHER HEATING VALUE (J/g)</t>
  </si>
  <si>
    <t>ENERGY BALANCE</t>
  </si>
  <si>
    <t>H2</t>
  </si>
  <si>
    <t>Inlet</t>
  </si>
  <si>
    <t>Outlet</t>
  </si>
  <si>
    <t>O2</t>
  </si>
  <si>
    <t>H2in</t>
  </si>
  <si>
    <t>H2out</t>
  </si>
  <si>
    <t>W_el (J/s)</t>
  </si>
  <si>
    <t>N2</t>
  </si>
  <si>
    <t>airin</t>
  </si>
  <si>
    <t>Airout</t>
  </si>
  <si>
    <t>Q_surr (assumed)</t>
  </si>
  <si>
    <t>AIR</t>
  </si>
  <si>
    <t>H2OinH2in</t>
  </si>
  <si>
    <t>H2OinH2out,V</t>
  </si>
  <si>
    <t>Total H in</t>
  </si>
  <si>
    <t>H2O V</t>
  </si>
  <si>
    <t>H2OinAirin</t>
  </si>
  <si>
    <t>H2OinH2out,L</t>
  </si>
  <si>
    <t>Total H out</t>
  </si>
  <si>
    <t>H20 L</t>
  </si>
  <si>
    <t>H2OinAirout,V</t>
  </si>
  <si>
    <t>Q_cm (J/s)</t>
  </si>
  <si>
    <t>h_fg (J/g)</t>
  </si>
  <si>
    <t>H2OinAirout,L</t>
  </si>
  <si>
    <t>Pump  2</t>
  </si>
  <si>
    <t>delta_Tc (assumed)</t>
  </si>
  <si>
    <t>seawater</t>
  </si>
  <si>
    <t>cp (J/gK)</t>
  </si>
  <si>
    <t>cp_water (J/g.K)</t>
  </si>
  <si>
    <t>delta T</t>
  </si>
  <si>
    <t>m_cm (g/s)</t>
  </si>
  <si>
    <t>m sea water (g/s)</t>
  </si>
  <si>
    <t>m sea water (kg/s)</t>
  </si>
  <si>
    <t>density sea water (kg/m^3)</t>
  </si>
  <si>
    <t>V sea water (m^3/s)</t>
  </si>
  <si>
    <t>assumed et</t>
  </si>
  <si>
    <t xml:space="preserve">H (pump head in meters) </t>
  </si>
  <si>
    <t>pump efficieny</t>
  </si>
  <si>
    <t>gravity</t>
  </si>
  <si>
    <t>W pump (J/s)</t>
  </si>
  <si>
    <t>Air Compressor</t>
  </si>
  <si>
    <t>Air Expander Out</t>
  </si>
  <si>
    <t>k</t>
  </si>
  <si>
    <t>ratio of specific heat for diatomic</t>
  </si>
  <si>
    <t>efficiency expander</t>
  </si>
  <si>
    <t>W_compressor,ideal</t>
  </si>
  <si>
    <t>W_exp (W)</t>
  </si>
  <si>
    <t>efficiency</t>
  </si>
  <si>
    <t>T_end (°C)</t>
  </si>
  <si>
    <t>W_compressor</t>
  </si>
  <si>
    <t>T2,airout</t>
  </si>
  <si>
    <t>Humidifier</t>
  </si>
  <si>
    <t>relative humidity of air in</t>
  </si>
  <si>
    <t>assumed (typical ambient relative humidity)</t>
  </si>
  <si>
    <t>T_amb (K)</t>
  </si>
  <si>
    <t>Pvs_in (Pa)</t>
  </si>
  <si>
    <t>xs_in (humidity mass ratio)</t>
  </si>
  <si>
    <t>m_H2O,in</t>
  </si>
  <si>
    <t>relative humidity of air out</t>
  </si>
  <si>
    <t>T_out (°C)</t>
  </si>
  <si>
    <t>xs_out (humidity mass ratio)</t>
  </si>
  <si>
    <t>m_H2O,out</t>
  </si>
  <si>
    <t>check</t>
  </si>
  <si>
    <t>Water Tank Pump</t>
  </si>
  <si>
    <t>Humidifer HEX</t>
  </si>
  <si>
    <t>water needed</t>
  </si>
  <si>
    <t>m  water (kg/s)</t>
  </si>
  <si>
    <t xml:space="preserve">enthalpy of wet air,in (h_vg) </t>
  </si>
  <si>
    <t>(J/g)</t>
  </si>
  <si>
    <t>H_wetAirin (J/s)</t>
  </si>
  <si>
    <t>enthalpy of wet air,out (h_vg)</t>
  </si>
  <si>
    <t>H_wetAirout (J/s)</t>
  </si>
  <si>
    <t>T_waterneeded (°C)</t>
  </si>
  <si>
    <t>enthalpy of water needed hot (J/g)</t>
  </si>
  <si>
    <t>H_waterneeded (J/s)</t>
  </si>
  <si>
    <t>Q (J/s)</t>
  </si>
  <si>
    <t>Hydrogen Tank</t>
  </si>
  <si>
    <t>P (atm)</t>
  </si>
  <si>
    <t>in high pressure cylinder</t>
  </si>
  <si>
    <t>Once hydrogen is released from the storage tank, the simplest way to supply hydrogen to a fuel cell is in the dead-end mode (Figure 9-4a). Such a system would only require a preset pressure regulator to reduce the pressure from the stack to the fuel cell.</t>
  </si>
  <si>
    <t xml:space="preserve">Heat Exchanger 1 </t>
  </si>
  <si>
    <t>Pump 1</t>
  </si>
  <si>
    <t>H2 side</t>
  </si>
  <si>
    <t>Tin (°C)</t>
  </si>
  <si>
    <t>H2 T is assumed</t>
  </si>
  <si>
    <t>https://www.engineeringtoolbox.com/sea-water-properties-d_840.html</t>
  </si>
  <si>
    <t>Tout (°C)</t>
  </si>
  <si>
    <t>assumed</t>
  </si>
  <si>
    <t>https://www.linkedin.com/pulse/pump-head-calculations-equations-understanding-key-concepts-hussain</t>
  </si>
  <si>
    <t>https://www.pumpsandsystems.com/pump-efficiency-what-efficiency#:~:text=The%20centrifugal%20pump%20converts%20mechanical,50%20to%2070%20percent%20range.</t>
  </si>
  <si>
    <t>Auxiliary Units // Ef calc</t>
  </si>
  <si>
    <t>Electric heating (W)</t>
  </si>
  <si>
    <t>Heat demand: humidifier + H2 pre-heat (W)</t>
  </si>
  <si>
    <t>W pump 1</t>
  </si>
  <si>
    <t>Stack waste heat available (W)</t>
  </si>
  <si>
    <t>W pump 2</t>
  </si>
  <si>
    <t>Share of waste heat used</t>
  </si>
  <si>
    <t>W pump 3</t>
  </si>
  <si>
    <t>W compressor</t>
  </si>
  <si>
    <t>W expander (+)</t>
  </si>
  <si>
    <t>W aux</t>
  </si>
  <si>
    <t>W Fc</t>
  </si>
  <si>
    <t>W net</t>
  </si>
  <si>
    <t>fc efficeny</t>
  </si>
  <si>
    <t>system efficiency</t>
  </si>
  <si>
    <t>auxiliary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</si>
</sst>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2" borderId="0" xfId="0" applyFill="1"/>
    <xf numFmtId="2" fontId="0" fillId="0" borderId="0" xfId="0" applyNumberFormat="1"/>
    <xf numFmtId="0" fontId="1" fillId="0" borderId="4" xfId="0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center" vertical="center"/>
    </xf>
    <xf numFmtId="0" fontId="0" fillId="0" borderId="8" xfId="0" applyBorder="1"/>
    <xf numFmtId="0" fontId="4" fillId="0" borderId="0" xfId="0" applyFont="1"/>
    <xf numFmtId="0" fontId="4" fillId="0" borderId="1" xfId="0" applyFont="1" applyBorder="1"/>
    <xf numFmtId="0" fontId="0" fillId="0" borderId="9" xfId="0" applyBorder="1"/>
    <xf numFmtId="0" fontId="0" fillId="3" borderId="1" xfId="0" applyFill="1" applyBorder="1"/>
    <xf numFmtId="0" fontId="4" fillId="3" borderId="1" xfId="0" applyFont="1" applyFill="1" applyBorder="1" applyAlignment="1">
      <alignment horizontal="center"/>
    </xf>
    <xf numFmtId="0" fontId="0" fillId="0" borderId="7" xfId="0" applyBorder="1"/>
    <xf numFmtId="0" fontId="2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"/>
  <sheetViews>
    <sheetView tabSelected="1" topLeftCell="B116" zoomScale="63" zoomScaleNormal="49" workbookViewId="0">
      <selection activeCell="E132" sqref="E132:F132"/>
    </sheetView>
  </sheetViews>
  <sheetFormatPr defaultColWidth="10.6640625" defaultRowHeight="15.5" x14ac:dyDescent="0.35"/>
  <cols>
    <col min="1" max="1" width="26" bestFit="1" customWidth="1"/>
    <col min="2" max="2" width="18.5" bestFit="1" customWidth="1"/>
    <col min="3" max="3" width="28.83203125" bestFit="1" customWidth="1"/>
    <col min="4" max="4" width="25.33203125" bestFit="1" customWidth="1"/>
    <col min="5" max="5" width="24.6640625" bestFit="1" customWidth="1"/>
    <col min="6" max="6" width="10.1640625" bestFit="1" customWidth="1"/>
    <col min="7" max="7" width="26.6640625" bestFit="1" customWidth="1"/>
    <col min="8" max="8" width="12.1640625" bestFit="1" customWidth="1"/>
    <col min="9" max="9" width="23.25" bestFit="1" customWidth="1"/>
    <col min="10" max="10" width="34.6640625" bestFit="1" customWidth="1"/>
    <col min="11" max="11" width="12.1640625" bestFit="1" customWidth="1"/>
    <col min="12" max="12" width="18.1640625" bestFit="1" customWidth="1"/>
    <col min="14" max="14" width="18.08203125" customWidth="1"/>
    <col min="15" max="15" width="16.83203125" customWidth="1"/>
  </cols>
  <sheetData>
    <row r="1" spans="1:5" x14ac:dyDescent="0.35">
      <c r="A1" s="1" t="s">
        <v>0</v>
      </c>
      <c r="B1" s="1"/>
      <c r="C1" s="1"/>
      <c r="D1" s="1"/>
      <c r="E1" s="1"/>
    </row>
    <row r="2" spans="1:5" x14ac:dyDescent="0.35">
      <c r="A2" s="1" t="s">
        <v>1</v>
      </c>
      <c r="B2" s="1" t="s">
        <v>2</v>
      </c>
      <c r="C2" s="1" t="s">
        <v>3</v>
      </c>
      <c r="D2" s="1"/>
      <c r="E2" s="1"/>
    </row>
    <row r="3" spans="1:5" x14ac:dyDescent="0.35">
      <c r="A3" s="1" t="s">
        <v>4</v>
      </c>
      <c r="B3" s="1">
        <v>5</v>
      </c>
      <c r="C3" s="1" t="s">
        <v>5</v>
      </c>
      <c r="D3" s="1"/>
      <c r="E3" s="1"/>
    </row>
    <row r="4" spans="1:5" x14ac:dyDescent="0.35">
      <c r="A4" s="1" t="s">
        <v>6</v>
      </c>
      <c r="B4" s="1">
        <v>80</v>
      </c>
      <c r="C4" s="1" t="s">
        <v>7</v>
      </c>
      <c r="D4" s="1"/>
      <c r="E4" s="1"/>
    </row>
    <row r="5" spans="1:5" x14ac:dyDescent="0.3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x14ac:dyDescent="0.35">
      <c r="A6" s="1" t="s">
        <v>13</v>
      </c>
      <c r="B6" s="1">
        <v>2000</v>
      </c>
      <c r="C6" s="1" t="s">
        <v>14</v>
      </c>
      <c r="D6" s="1"/>
      <c r="E6" s="1"/>
    </row>
    <row r="7" spans="1:5" x14ac:dyDescent="0.35">
      <c r="A7" s="1" t="s">
        <v>15</v>
      </c>
      <c r="B7" s="1">
        <v>40</v>
      </c>
      <c r="C7" s="1"/>
      <c r="D7" s="1"/>
      <c r="E7" s="1"/>
    </row>
    <row r="8" spans="1:5" x14ac:dyDescent="0.35">
      <c r="A8" s="1" t="s">
        <v>16</v>
      </c>
      <c r="B8" s="1">
        <v>32</v>
      </c>
      <c r="C8" s="1" t="s">
        <v>17</v>
      </c>
      <c r="D8" s="1"/>
      <c r="E8" s="1"/>
    </row>
    <row r="9" spans="1:5" x14ac:dyDescent="0.35">
      <c r="A9" s="1" t="s">
        <v>18</v>
      </c>
      <c r="B9" s="1" t="s">
        <v>19</v>
      </c>
      <c r="C9" s="1" t="s">
        <v>20</v>
      </c>
      <c r="D9" s="1"/>
      <c r="E9" s="1"/>
    </row>
    <row r="10" spans="1:5" x14ac:dyDescent="0.35">
      <c r="A10" s="1" t="s">
        <v>21</v>
      </c>
      <c r="B10" s="1">
        <v>24</v>
      </c>
      <c r="C10" s="1" t="s">
        <v>22</v>
      </c>
      <c r="D10" s="1"/>
      <c r="E10" s="1"/>
    </row>
    <row r="12" spans="1:5" ht="16" customHeight="1" thickBot="1" x14ac:dyDescent="0.4"/>
    <row r="13" spans="1:5" ht="16" customHeight="1" thickBot="1" x14ac:dyDescent="0.4">
      <c r="A13" s="17" t="s">
        <v>23</v>
      </c>
      <c r="B13" s="18"/>
      <c r="C13" s="19"/>
    </row>
    <row r="14" spans="1:5" ht="16" customHeight="1" thickBot="1" x14ac:dyDescent="0.4">
      <c r="A14" s="2" t="s">
        <v>24</v>
      </c>
      <c r="B14" s="3" t="s">
        <v>25</v>
      </c>
      <c r="C14" s="3" t="s">
        <v>26</v>
      </c>
    </row>
    <row r="15" spans="1:5" ht="16" customHeight="1" thickBot="1" x14ac:dyDescent="0.4">
      <c r="A15" s="2" t="s">
        <v>27</v>
      </c>
      <c r="B15" s="9">
        <v>135798.79051216101</v>
      </c>
      <c r="C15" s="3" t="s">
        <v>28</v>
      </c>
      <c r="D15" t="s">
        <v>29</v>
      </c>
    </row>
    <row r="16" spans="1:5" ht="18" customHeight="1" thickBot="1" x14ac:dyDescent="0.4">
      <c r="A16" s="2" t="s">
        <v>30</v>
      </c>
      <c r="B16" s="3" t="s">
        <v>31</v>
      </c>
      <c r="C16" s="4"/>
    </row>
    <row r="17" spans="1:5" ht="16" customHeight="1" thickBot="1" x14ac:dyDescent="0.4">
      <c r="A17" s="17" t="s">
        <v>32</v>
      </c>
      <c r="B17" s="18"/>
      <c r="C17" s="19"/>
    </row>
    <row r="18" spans="1:5" ht="18" customHeight="1" thickBot="1" x14ac:dyDescent="0.4">
      <c r="A18" s="2" t="s">
        <v>33</v>
      </c>
      <c r="B18" s="3">
        <v>20</v>
      </c>
      <c r="C18" s="3" t="s">
        <v>34</v>
      </c>
      <c r="D18">
        <f>B18+273.15</f>
        <v>293.14999999999998</v>
      </c>
      <c r="E18" t="s">
        <v>26</v>
      </c>
    </row>
    <row r="19" spans="1:5" ht="18" customHeight="1" thickBot="1" x14ac:dyDescent="0.4">
      <c r="A19" s="2" t="s">
        <v>35</v>
      </c>
      <c r="B19" s="3">
        <v>101325</v>
      </c>
      <c r="C19" s="3" t="s">
        <v>28</v>
      </c>
    </row>
    <row r="22" spans="1:5" x14ac:dyDescent="0.35">
      <c r="A22" s="10"/>
      <c r="B22" s="10"/>
      <c r="C22" s="10"/>
    </row>
    <row r="23" spans="1:5" x14ac:dyDescent="0.35">
      <c r="A23" s="22" t="s">
        <v>36</v>
      </c>
      <c r="B23" s="21"/>
      <c r="C23" s="16"/>
    </row>
    <row r="24" spans="1:5" ht="16" customHeight="1" thickBot="1" x14ac:dyDescent="0.4">
      <c r="A24" s="8" t="s">
        <v>37</v>
      </c>
      <c r="B24" s="3">
        <v>2</v>
      </c>
      <c r="C24" s="3" t="s">
        <v>38</v>
      </c>
    </row>
    <row r="25" spans="1:5" ht="18" customHeight="1" thickBot="1" x14ac:dyDescent="0.4">
      <c r="A25" s="2" t="s">
        <v>39</v>
      </c>
      <c r="B25" s="3">
        <v>24</v>
      </c>
      <c r="C25" s="3" t="s">
        <v>40</v>
      </c>
    </row>
    <row r="26" spans="1:5" ht="18" customHeight="1" thickBot="1" x14ac:dyDescent="0.4">
      <c r="A26" s="2" t="s">
        <v>41</v>
      </c>
      <c r="B26" s="3">
        <v>0.7</v>
      </c>
      <c r="C26" s="3" t="s">
        <v>40</v>
      </c>
      <c r="D26" t="s">
        <v>42</v>
      </c>
    </row>
    <row r="29" spans="1:5" x14ac:dyDescent="0.35">
      <c r="A29" t="s">
        <v>43</v>
      </c>
      <c r="B29" s="5">
        <v>740</v>
      </c>
      <c r="C29" s="5" t="s">
        <v>44</v>
      </c>
      <c r="D29" t="s">
        <v>45</v>
      </c>
    </row>
    <row r="30" spans="1:5" x14ac:dyDescent="0.35">
      <c r="A30" t="s">
        <v>46</v>
      </c>
      <c r="B30">
        <f>B24*1000/B25</f>
        <v>83.333333333333329</v>
      </c>
      <c r="C30" s="5" t="s">
        <v>47</v>
      </c>
    </row>
    <row r="31" spans="1:5" x14ac:dyDescent="0.35">
      <c r="A31" t="s">
        <v>48</v>
      </c>
      <c r="B31">
        <f>B30/(B29*10)</f>
        <v>1.1261261261261261E-2</v>
      </c>
      <c r="C31" s="5" t="s">
        <v>49</v>
      </c>
      <c r="D31" t="s">
        <v>50</v>
      </c>
    </row>
    <row r="32" spans="1:5" x14ac:dyDescent="0.35">
      <c r="A32" t="s">
        <v>51</v>
      </c>
      <c r="B32">
        <f>B25/B26</f>
        <v>34.285714285714285</v>
      </c>
    </row>
    <row r="33" spans="1:12" x14ac:dyDescent="0.35">
      <c r="A33" t="s">
        <v>52</v>
      </c>
      <c r="B33">
        <f>B26/1.482*(1/B41)</f>
        <v>0.47233468286099861</v>
      </c>
    </row>
    <row r="35" spans="1:12" x14ac:dyDescent="0.35">
      <c r="A35" s="11"/>
      <c r="D35" s="15" t="s">
        <v>53</v>
      </c>
      <c r="E35" s="21"/>
      <c r="F35" s="21"/>
      <c r="G35" s="21"/>
      <c r="H35" s="21"/>
      <c r="I35" s="21"/>
      <c r="J35" s="21"/>
      <c r="K35" s="16"/>
    </row>
    <row r="36" spans="1:12" x14ac:dyDescent="0.35">
      <c r="D36" s="12" t="s">
        <v>54</v>
      </c>
      <c r="E36" s="12"/>
      <c r="F36" s="12"/>
      <c r="G36" s="12" t="s">
        <v>55</v>
      </c>
      <c r="H36" s="12"/>
      <c r="I36" s="12"/>
      <c r="J36" s="12" t="s">
        <v>56</v>
      </c>
      <c r="K36" s="12"/>
      <c r="L36" s="11"/>
    </row>
    <row r="37" spans="1:12" x14ac:dyDescent="0.35">
      <c r="A37" t="s">
        <v>57</v>
      </c>
      <c r="B37">
        <v>96485</v>
      </c>
      <c r="C37" t="s">
        <v>58</v>
      </c>
      <c r="D37" s="1" t="s">
        <v>59</v>
      </c>
      <c r="E37" s="1">
        <f>B41*B43*B38*B39/(2*B37)</f>
        <v>3.0468034754970546E-2</v>
      </c>
      <c r="F37" s="1"/>
      <c r="G37" s="1" t="s">
        <v>60</v>
      </c>
      <c r="H37" s="1">
        <f>E37</f>
        <v>3.0468034754970546E-2</v>
      </c>
      <c r="I37" s="1" t="s">
        <v>61</v>
      </c>
      <c r="J37" s="1" t="s">
        <v>62</v>
      </c>
      <c r="K37" s="1" t="s">
        <v>63</v>
      </c>
    </row>
    <row r="38" spans="1:12" x14ac:dyDescent="0.35">
      <c r="A38" t="s">
        <v>64</v>
      </c>
      <c r="B38">
        <f>B30</f>
        <v>83.333333333333329</v>
      </c>
      <c r="D38" s="1" t="s">
        <v>65</v>
      </c>
      <c r="E38" s="1">
        <f>B40*B44*B38*B39/(4*B37)</f>
        <v>0.60456180580746566</v>
      </c>
      <c r="F38" s="1"/>
      <c r="G38" s="1" t="s">
        <v>66</v>
      </c>
      <c r="H38" s="1">
        <f>B44*B38*B39/(4*B37)</f>
        <v>0.2418247223229863</v>
      </c>
      <c r="I38" s="1"/>
      <c r="J38" s="12" t="s">
        <v>67</v>
      </c>
      <c r="K38" s="1"/>
    </row>
    <row r="39" spans="1:12" x14ac:dyDescent="0.35">
      <c r="A39" t="s">
        <v>68</v>
      </c>
      <c r="B39">
        <f>ROUNDUP(B32,0)</f>
        <v>35</v>
      </c>
      <c r="D39" s="1" t="s">
        <v>69</v>
      </c>
      <c r="E39" s="1">
        <f>B40*B47*B38*B39/(4*B37*B42)</f>
        <v>2.5953947936639548</v>
      </c>
      <c r="F39" s="1"/>
      <c r="G39" s="1" t="s">
        <v>70</v>
      </c>
      <c r="H39" s="1">
        <f>B45*B38*B39/(2*B37)</f>
        <v>0.27229275707795686</v>
      </c>
      <c r="I39" s="1"/>
      <c r="J39" s="1" t="s">
        <v>71</v>
      </c>
      <c r="K39" s="1">
        <f>E38-H38</f>
        <v>0.36273708348447936</v>
      </c>
    </row>
    <row r="40" spans="1:12" x14ac:dyDescent="0.35">
      <c r="A40" t="s">
        <v>72</v>
      </c>
      <c r="B40">
        <v>2.5</v>
      </c>
      <c r="C40" t="s">
        <v>73</v>
      </c>
      <c r="D40" s="1" t="s">
        <v>74</v>
      </c>
      <c r="E40" s="1">
        <f>B40*B46*(1-B42)*B38*B39/(4*B37*B42)</f>
        <v>1.9910429730009849</v>
      </c>
      <c r="F40" s="1"/>
      <c r="G40" s="1"/>
      <c r="H40" s="1"/>
      <c r="I40" s="1"/>
      <c r="J40" s="1" t="s">
        <v>75</v>
      </c>
      <c r="K40" s="1">
        <f>E40</f>
        <v>1.9910429730009849</v>
      </c>
    </row>
    <row r="41" spans="1:12" x14ac:dyDescent="0.35">
      <c r="A41" t="s">
        <v>76</v>
      </c>
      <c r="B41">
        <v>1</v>
      </c>
      <c r="C41" t="s">
        <v>77</v>
      </c>
      <c r="D41" s="1" t="s">
        <v>78</v>
      </c>
      <c r="E41" s="1">
        <v>0</v>
      </c>
      <c r="F41" s="1" t="s">
        <v>79</v>
      </c>
      <c r="G41" s="1"/>
      <c r="H41" s="1"/>
      <c r="I41" s="1"/>
      <c r="J41" s="13" t="s">
        <v>80</v>
      </c>
      <c r="K41">
        <f>K39+K40</f>
        <v>2.3537800564854643</v>
      </c>
    </row>
    <row r="42" spans="1:12" x14ac:dyDescent="0.35">
      <c r="A42" t="s">
        <v>81</v>
      </c>
      <c r="B42">
        <v>0.21</v>
      </c>
      <c r="D42" s="1" t="s">
        <v>82</v>
      </c>
      <c r="E42" s="1">
        <f>B40*B45*B48*B49*B38*B39/(4*B37*B42*(B15-B48*B49))</f>
        <v>0.86940523539689241</v>
      </c>
      <c r="F42" s="1"/>
      <c r="G42" s="1"/>
      <c r="H42" s="1"/>
      <c r="I42" s="1"/>
      <c r="J42" s="1" t="s">
        <v>83</v>
      </c>
      <c r="K42" s="1">
        <f>E42+H39</f>
        <v>1.1416979924748492</v>
      </c>
      <c r="L42" t="s">
        <v>84</v>
      </c>
    </row>
    <row r="43" spans="1:12" x14ac:dyDescent="0.35">
      <c r="A43" t="s">
        <v>85</v>
      </c>
      <c r="B43">
        <v>2.0158</v>
      </c>
      <c r="C43" t="s">
        <v>86</v>
      </c>
      <c r="D43" s="1"/>
      <c r="E43" s="1"/>
      <c r="F43" s="1"/>
      <c r="G43" s="1"/>
      <c r="H43" s="1"/>
      <c r="I43" s="1"/>
      <c r="J43" s="1"/>
      <c r="K43" s="1">
        <f>(B40-B42)*B45*B38*B39*B49/(B42*4*B37*(B50-B49))</f>
        <v>0.94094235466115406</v>
      </c>
    </row>
    <row r="44" spans="1:12" x14ac:dyDescent="0.35">
      <c r="A44" t="s">
        <v>87</v>
      </c>
      <c r="B44">
        <v>31.998799999999999</v>
      </c>
      <c r="C44" t="s">
        <v>86</v>
      </c>
      <c r="D44" s="1"/>
      <c r="E44" s="1"/>
      <c r="F44" s="1"/>
      <c r="G44" s="1"/>
      <c r="H44" s="1"/>
      <c r="I44" s="1"/>
      <c r="J44" s="1" t="s">
        <v>88</v>
      </c>
      <c r="K44" s="1">
        <f>MIN(K42:K43)</f>
        <v>0.94094235466115406</v>
      </c>
    </row>
    <row r="45" spans="1:12" x14ac:dyDescent="0.35">
      <c r="A45" t="s">
        <v>89</v>
      </c>
      <c r="B45">
        <v>18.0152</v>
      </c>
      <c r="C45" t="s">
        <v>86</v>
      </c>
      <c r="D45" s="1"/>
      <c r="E45" s="1"/>
      <c r="F45" s="1"/>
      <c r="G45" s="1"/>
      <c r="H45" s="1"/>
      <c r="I45" s="1"/>
      <c r="J45" s="1" t="s">
        <v>90</v>
      </c>
      <c r="K45" s="1">
        <f>K42-K44</f>
        <v>0.2007556378136951</v>
      </c>
    </row>
    <row r="46" spans="1:12" x14ac:dyDescent="0.35">
      <c r="A46" t="s">
        <v>91</v>
      </c>
      <c r="B46">
        <f>28.0134</f>
        <v>28.013400000000001</v>
      </c>
      <c r="C46" t="s">
        <v>86</v>
      </c>
    </row>
    <row r="47" spans="1:12" x14ac:dyDescent="0.35">
      <c r="A47" t="s">
        <v>92</v>
      </c>
      <c r="B47">
        <v>28.847999999999999</v>
      </c>
      <c r="C47" t="s">
        <v>86</v>
      </c>
    </row>
    <row r="48" spans="1:12" x14ac:dyDescent="0.35">
      <c r="A48" t="s">
        <v>93</v>
      </c>
      <c r="B48">
        <v>1</v>
      </c>
    </row>
    <row r="49" spans="1:11" x14ac:dyDescent="0.35">
      <c r="A49" t="s">
        <v>94</v>
      </c>
      <c r="B49">
        <f>EXP(-5800.2206/B14+1.3914993-0.048640239*B14+0.41764768*(10^-4)*B14^2-0.14452093*(10^-7)*B14^3+6.5459673*LN(B14))</f>
        <v>47411.611463138135</v>
      </c>
      <c r="C49" t="s">
        <v>28</v>
      </c>
    </row>
    <row r="50" spans="1:11" x14ac:dyDescent="0.35">
      <c r="A50" t="s">
        <v>95</v>
      </c>
      <c r="B50">
        <f>B15*0.9</f>
        <v>122218.91146094492</v>
      </c>
      <c r="C50" t="s">
        <v>96</v>
      </c>
    </row>
    <row r="62" spans="1:11" x14ac:dyDescent="0.35">
      <c r="B62" t="s">
        <v>97</v>
      </c>
      <c r="C62" t="s">
        <v>98</v>
      </c>
      <c r="E62" s="15" t="s">
        <v>99</v>
      </c>
      <c r="F62" s="21"/>
      <c r="G62" s="21"/>
      <c r="H62" s="16"/>
    </row>
    <row r="63" spans="1:11" x14ac:dyDescent="0.35">
      <c r="A63" t="s">
        <v>100</v>
      </c>
      <c r="B63" s="7">
        <v>14.2</v>
      </c>
      <c r="C63" s="7">
        <v>141900</v>
      </c>
      <c r="D63" s="7"/>
      <c r="E63" s="1" t="s">
        <v>101</v>
      </c>
      <c r="F63" s="1"/>
      <c r="G63" s="1" t="s">
        <v>102</v>
      </c>
      <c r="H63" s="1"/>
    </row>
    <row r="64" spans="1:11" x14ac:dyDescent="0.35">
      <c r="A64" t="s">
        <v>103</v>
      </c>
      <c r="B64" s="7">
        <v>0.91300000000000003</v>
      </c>
      <c r="C64" s="7"/>
      <c r="D64" s="7"/>
      <c r="E64" s="1" t="s">
        <v>104</v>
      </c>
      <c r="F64" s="1">
        <f>E37*(B63*B4+C63)</f>
        <v>4358.0258192119672</v>
      </c>
      <c r="G64" s="1" t="s">
        <v>105</v>
      </c>
      <c r="H64" s="1">
        <v>0</v>
      </c>
      <c r="J64" s="1" t="s">
        <v>106</v>
      </c>
      <c r="K64" s="1">
        <f>B24*1000</f>
        <v>2000</v>
      </c>
    </row>
    <row r="65" spans="1:15" x14ac:dyDescent="0.35">
      <c r="A65" t="s">
        <v>107</v>
      </c>
      <c r="B65" s="7">
        <v>1.04</v>
      </c>
      <c r="C65" s="7"/>
      <c r="D65" s="7"/>
      <c r="E65" s="1" t="s">
        <v>108</v>
      </c>
      <c r="F65" s="1">
        <f>E39*B66*B4</f>
        <v>209.70789932804757</v>
      </c>
      <c r="G65" s="1" t="s">
        <v>109</v>
      </c>
      <c r="H65" s="1">
        <f>B66*K41*B4</f>
        <v>190.1854285640255</v>
      </c>
      <c r="J65" s="1" t="s">
        <v>110</v>
      </c>
      <c r="K65" s="1">
        <v>0</v>
      </c>
    </row>
    <row r="66" spans="1:15" x14ac:dyDescent="0.35">
      <c r="A66" t="s">
        <v>111</v>
      </c>
      <c r="B66" s="7">
        <v>1.01</v>
      </c>
      <c r="C66" s="7"/>
      <c r="D66" s="7"/>
      <c r="E66" s="1" t="s">
        <v>112</v>
      </c>
      <c r="F66" s="1">
        <v>0</v>
      </c>
      <c r="G66" s="1" t="s">
        <v>113</v>
      </c>
      <c r="H66" s="1">
        <v>0</v>
      </c>
      <c r="J66" s="1" t="s">
        <v>114</v>
      </c>
      <c r="K66" s="1">
        <f>SUM(F64:F67)</f>
        <v>6871.309830247621</v>
      </c>
    </row>
    <row r="67" spans="1:15" x14ac:dyDescent="0.35">
      <c r="A67" t="s">
        <v>115</v>
      </c>
      <c r="B67" s="7">
        <v>1.87</v>
      </c>
      <c r="C67" s="7"/>
      <c r="D67" s="7"/>
      <c r="E67" s="1" t="s">
        <v>116</v>
      </c>
      <c r="F67" s="1">
        <f>E42*(B67*B4+B69)</f>
        <v>2303.5761117076058</v>
      </c>
      <c r="G67" s="1" t="s">
        <v>117</v>
      </c>
      <c r="H67" s="1">
        <v>0</v>
      </c>
      <c r="J67" s="1" t="s">
        <v>118</v>
      </c>
      <c r="K67" s="1">
        <f>SUM(H64:H69)</f>
        <v>2750.1177677386172</v>
      </c>
    </row>
    <row r="68" spans="1:15" x14ac:dyDescent="0.35">
      <c r="A68" t="s">
        <v>119</v>
      </c>
      <c r="B68" s="7">
        <v>4.16</v>
      </c>
      <c r="C68" s="7"/>
      <c r="D68" s="7"/>
      <c r="E68" s="1"/>
      <c r="F68" s="1"/>
      <c r="G68" s="1" t="s">
        <v>120</v>
      </c>
      <c r="H68" s="1">
        <f>K44*(B67*B4+B69)</f>
        <v>2493.1208629101939</v>
      </c>
      <c r="J68" s="14" t="s">
        <v>121</v>
      </c>
      <c r="K68" s="14">
        <f>K66-K67-K64</f>
        <v>2121.1920625090042</v>
      </c>
    </row>
    <row r="69" spans="1:15" x14ac:dyDescent="0.35">
      <c r="A69" t="s">
        <v>122</v>
      </c>
      <c r="B69" s="7">
        <v>2500</v>
      </c>
      <c r="E69" s="1"/>
      <c r="F69" s="1"/>
      <c r="G69" s="1" t="s">
        <v>123</v>
      </c>
      <c r="H69" s="1">
        <f>K45*B68*B4</f>
        <v>66.811476264397726</v>
      </c>
    </row>
    <row r="70" spans="1:15" x14ac:dyDescent="0.35">
      <c r="N70" s="6" t="s">
        <v>124</v>
      </c>
    </row>
    <row r="71" spans="1:15" x14ac:dyDescent="0.35">
      <c r="J71" t="s">
        <v>125</v>
      </c>
      <c r="K71">
        <v>7.5</v>
      </c>
      <c r="M71" t="s">
        <v>126</v>
      </c>
      <c r="N71" t="s">
        <v>127</v>
      </c>
      <c r="O71">
        <v>4.0069999999999997</v>
      </c>
    </row>
    <row r="72" spans="1:15" x14ac:dyDescent="0.35">
      <c r="J72" t="s">
        <v>128</v>
      </c>
      <c r="K72" s="7">
        <f>B68</f>
        <v>4.16</v>
      </c>
      <c r="N72" t="s">
        <v>129</v>
      </c>
      <c r="O72">
        <f>(90-20)</f>
        <v>70</v>
      </c>
    </row>
    <row r="73" spans="1:15" x14ac:dyDescent="0.35">
      <c r="J73" t="s">
        <v>130</v>
      </c>
      <c r="K73">
        <f>K68/(K72*K71)</f>
        <v>67.986925080416796</v>
      </c>
      <c r="N73" t="s">
        <v>131</v>
      </c>
      <c r="O73">
        <f>K68/(O71*O72)</f>
        <v>7.562451647149647</v>
      </c>
    </row>
    <row r="74" spans="1:15" x14ac:dyDescent="0.35">
      <c r="N74" t="s">
        <v>132</v>
      </c>
      <c r="O74">
        <f>O73/1000</f>
        <v>7.5624516471496468E-3</v>
      </c>
    </row>
    <row r="75" spans="1:15" x14ac:dyDescent="0.35">
      <c r="N75" t="s">
        <v>133</v>
      </c>
      <c r="O75">
        <v>1025</v>
      </c>
    </row>
    <row r="76" spans="1:15" x14ac:dyDescent="0.35">
      <c r="N76" t="s">
        <v>134</v>
      </c>
      <c r="O76">
        <f>O74/O75</f>
        <v>7.3780016069752649E-6</v>
      </c>
    </row>
    <row r="77" spans="1:15" x14ac:dyDescent="0.35">
      <c r="M77" t="s">
        <v>135</v>
      </c>
      <c r="N77" t="s">
        <v>136</v>
      </c>
      <c r="O77">
        <v>0.5</v>
      </c>
    </row>
    <row r="78" spans="1:15" x14ac:dyDescent="0.35">
      <c r="N78" t="s">
        <v>137</v>
      </c>
      <c r="O78">
        <v>0.85</v>
      </c>
    </row>
    <row r="79" spans="1:15" x14ac:dyDescent="0.35">
      <c r="N79" t="s">
        <v>138</v>
      </c>
      <c r="O79">
        <v>9.81</v>
      </c>
    </row>
    <row r="80" spans="1:15" x14ac:dyDescent="0.35">
      <c r="N80" t="s">
        <v>139</v>
      </c>
      <c r="O80">
        <f>(O74)*O77*O79/(O78)</f>
        <v>4.3639794505022374E-2</v>
      </c>
    </row>
    <row r="85" spans="5:10" x14ac:dyDescent="0.35">
      <c r="E85" s="15" t="s">
        <v>140</v>
      </c>
      <c r="F85" s="16"/>
      <c r="I85" s="15" t="s">
        <v>141</v>
      </c>
      <c r="J85" s="16"/>
    </row>
    <row r="86" spans="5:10" x14ac:dyDescent="0.35">
      <c r="E86" s="1" t="s">
        <v>142</v>
      </c>
      <c r="F86" s="1">
        <v>1.4</v>
      </c>
      <c r="G86" t="s">
        <v>143</v>
      </c>
      <c r="I86" s="1" t="s">
        <v>144</v>
      </c>
      <c r="J86" s="1">
        <v>0.75</v>
      </c>
    </row>
    <row r="87" spans="5:10" x14ac:dyDescent="0.35">
      <c r="E87" s="1" t="s">
        <v>145</v>
      </c>
      <c r="F87" s="1">
        <f>E39*B66*D18*((B15/B19)^((F86-1)/F86)-1)</f>
        <v>67.061595347504124</v>
      </c>
      <c r="G87" t="s">
        <v>14</v>
      </c>
      <c r="I87" s="1" t="s">
        <v>146</v>
      </c>
      <c r="J87" s="1">
        <f>K41*B66*(B4+273.15)*(1-(B19/B50)^((F86-1)/F86))*J86</f>
        <v>32.840994452602871</v>
      </c>
    </row>
    <row r="88" spans="5:10" x14ac:dyDescent="0.35">
      <c r="E88" s="1" t="s">
        <v>147</v>
      </c>
      <c r="F88" s="1">
        <v>0.75</v>
      </c>
      <c r="I88" s="1" t="s">
        <v>148</v>
      </c>
      <c r="J88" s="1">
        <f>B4-(B4+273.15)*(1-(B19/B50)^((F86-1)/F86))*J86</f>
        <v>66.185694792470599</v>
      </c>
    </row>
    <row r="89" spans="5:10" x14ac:dyDescent="0.35">
      <c r="E89" s="1" t="s">
        <v>149</v>
      </c>
      <c r="F89" s="1">
        <f>F87/F88</f>
        <v>89.415460463338832</v>
      </c>
      <c r="G89" t="s">
        <v>14</v>
      </c>
    </row>
    <row r="90" spans="5:10" x14ac:dyDescent="0.35">
      <c r="E90" s="1" t="s">
        <v>150</v>
      </c>
      <c r="F90" s="1">
        <f>B18+D18/F88*((B15/B19)^((F86-1)/F86)-1)</f>
        <v>54.110478718196717</v>
      </c>
    </row>
    <row r="92" spans="5:10" x14ac:dyDescent="0.35">
      <c r="E92" s="15" t="s">
        <v>151</v>
      </c>
      <c r="F92" s="16"/>
    </row>
    <row r="93" spans="5:10" x14ac:dyDescent="0.35">
      <c r="E93" s="1" t="s">
        <v>152</v>
      </c>
      <c r="F93" s="1">
        <v>0.63</v>
      </c>
      <c r="G93" t="s">
        <v>153</v>
      </c>
    </row>
    <row r="94" spans="5:10" x14ac:dyDescent="0.35">
      <c r="E94" s="1" t="s">
        <v>154</v>
      </c>
      <c r="F94" s="1">
        <f>D18</f>
        <v>293.14999999999998</v>
      </c>
      <c r="G94" t="s">
        <v>26</v>
      </c>
    </row>
    <row r="95" spans="5:10" x14ac:dyDescent="0.35">
      <c r="E95" s="1" t="s">
        <v>155</v>
      </c>
      <c r="F95" s="1">
        <f>EXP(-5800.2206/F94+1.3914993-0.048640239*F94+0.41764768*(10^-4)*F94^2-0.14452093*(10^-7)*F94^3+6.5459673*LN(F94))</f>
        <v>2338.8037000739814</v>
      </c>
    </row>
    <row r="96" spans="5:10" x14ac:dyDescent="0.35">
      <c r="E96" s="1" t="s">
        <v>156</v>
      </c>
      <c r="F96" s="1">
        <f>B45*F93*F95/(B47*(B19-F93*F95))</f>
        <v>9.2151598575679217E-3</v>
      </c>
    </row>
    <row r="97" spans="5:12" x14ac:dyDescent="0.35">
      <c r="E97" s="1" t="s">
        <v>157</v>
      </c>
      <c r="F97" s="1">
        <f>F96*E39</f>
        <v>2.3916977917112853E-2</v>
      </c>
    </row>
    <row r="98" spans="5:12" x14ac:dyDescent="0.35">
      <c r="E98" s="1" t="s">
        <v>158</v>
      </c>
      <c r="F98" s="1">
        <v>1</v>
      </c>
    </row>
    <row r="99" spans="5:12" x14ac:dyDescent="0.35">
      <c r="E99" s="1" t="s">
        <v>159</v>
      </c>
      <c r="F99" s="1">
        <v>80</v>
      </c>
    </row>
    <row r="100" spans="5:12" x14ac:dyDescent="0.35">
      <c r="E100" s="1" t="s">
        <v>160</v>
      </c>
      <c r="F100" s="1">
        <f>B45*F98*B49/(B47*(B15-F98*B49))</f>
        <v>0.33497995662137442</v>
      </c>
    </row>
    <row r="101" spans="5:12" x14ac:dyDescent="0.35">
      <c r="E101" s="1" t="s">
        <v>161</v>
      </c>
      <c r="F101" s="1">
        <f>E42</f>
        <v>0.86940523539689241</v>
      </c>
      <c r="G101">
        <f>F100*E39</f>
        <v>0.86940523539689263</v>
      </c>
      <c r="H101" t="s">
        <v>162</v>
      </c>
      <c r="I101" s="6" t="s">
        <v>163</v>
      </c>
      <c r="L101" s="6" t="s">
        <v>164</v>
      </c>
    </row>
    <row r="102" spans="5:12" x14ac:dyDescent="0.35">
      <c r="E102" s="1" t="s">
        <v>165</v>
      </c>
      <c r="F102" s="1">
        <f>F101-F97</f>
        <v>0.84548825747977951</v>
      </c>
      <c r="I102" t="s">
        <v>127</v>
      </c>
      <c r="J102" s="7">
        <f>B68</f>
        <v>4.16</v>
      </c>
    </row>
    <row r="103" spans="5:12" x14ac:dyDescent="0.35">
      <c r="E103" s="1"/>
      <c r="F103" s="1"/>
      <c r="I103" t="s">
        <v>166</v>
      </c>
      <c r="J103">
        <f>F102/1000</f>
        <v>8.454882574797795E-4</v>
      </c>
    </row>
    <row r="104" spans="5:12" x14ac:dyDescent="0.35">
      <c r="E104" s="1" t="s">
        <v>167</v>
      </c>
      <c r="F104" s="1">
        <f>B66*F90+F96*(B67*F90+B69)</f>
        <v>78.621933799537402</v>
      </c>
      <c r="G104" t="s">
        <v>168</v>
      </c>
      <c r="I104" t="s">
        <v>136</v>
      </c>
      <c r="J104">
        <v>0.5</v>
      </c>
    </row>
    <row r="105" spans="5:12" x14ac:dyDescent="0.35">
      <c r="E105" s="1" t="s">
        <v>169</v>
      </c>
      <c r="F105" s="1">
        <f>F104*E39</f>
        <v>204.05495765111149</v>
      </c>
      <c r="I105" t="s">
        <v>137</v>
      </c>
      <c r="J105">
        <v>0.85</v>
      </c>
    </row>
    <row r="106" spans="5:12" x14ac:dyDescent="0.35">
      <c r="E106" s="1" t="s">
        <v>170</v>
      </c>
      <c r="F106" s="1">
        <f>B66*B4+F100*(B67*B4+B69)</f>
        <v>968.36289306399362</v>
      </c>
      <c r="G106" t="s">
        <v>168</v>
      </c>
      <c r="I106" t="s">
        <v>138</v>
      </c>
      <c r="J106">
        <v>9.81</v>
      </c>
    </row>
    <row r="107" spans="5:12" x14ac:dyDescent="0.35">
      <c r="E107" s="1" t="s">
        <v>171</v>
      </c>
      <c r="F107" s="1">
        <f>F106*E39</f>
        <v>2513.2840110356542</v>
      </c>
      <c r="I107" t="s">
        <v>139</v>
      </c>
      <c r="J107">
        <f>(J103*J104*J106)/J105</f>
        <v>4.8789645916921401E-3</v>
      </c>
    </row>
    <row r="108" spans="5:12" x14ac:dyDescent="0.35">
      <c r="E108" s="1" t="s">
        <v>172</v>
      </c>
      <c r="F108" s="1">
        <v>80</v>
      </c>
    </row>
    <row r="109" spans="5:12" x14ac:dyDescent="0.35">
      <c r="E109" s="1" t="s">
        <v>173</v>
      </c>
      <c r="F109" s="1">
        <f>B68*F108</f>
        <v>332.8</v>
      </c>
    </row>
    <row r="110" spans="5:12" x14ac:dyDescent="0.35">
      <c r="E110" s="1" t="s">
        <v>174</v>
      </c>
      <c r="F110" s="1">
        <f>F109*F102</f>
        <v>281.37849208927065</v>
      </c>
    </row>
    <row r="111" spans="5:12" x14ac:dyDescent="0.35">
      <c r="E111" s="1" t="s">
        <v>175</v>
      </c>
      <c r="F111" s="1">
        <f>F107-F110-F105</f>
        <v>2027.850561295272</v>
      </c>
      <c r="G111">
        <f>90-F111/(O71*O73)</f>
        <v>23.080298668114381</v>
      </c>
    </row>
    <row r="113" spans="4:11" x14ac:dyDescent="0.35">
      <c r="E113" s="15" t="s">
        <v>176</v>
      </c>
      <c r="F113" s="16"/>
      <c r="G113" s="1"/>
    </row>
    <row r="114" spans="4:11" x14ac:dyDescent="0.35">
      <c r="E114" s="1" t="s">
        <v>177</v>
      </c>
      <c r="F114" s="1">
        <v>197.4</v>
      </c>
      <c r="G114" s="1" t="s">
        <v>178</v>
      </c>
    </row>
    <row r="115" spans="4:11" x14ac:dyDescent="0.35">
      <c r="E115" s="20" t="s">
        <v>179</v>
      </c>
      <c r="F115" s="21"/>
      <c r="G115" s="16"/>
    </row>
    <row r="117" spans="4:11" x14ac:dyDescent="0.35">
      <c r="E117" s="15" t="s">
        <v>180</v>
      </c>
      <c r="F117" s="16"/>
      <c r="I117" s="6" t="s">
        <v>181</v>
      </c>
    </row>
    <row r="118" spans="4:11" x14ac:dyDescent="0.35">
      <c r="D118" t="s">
        <v>182</v>
      </c>
      <c r="E118" s="1" t="s">
        <v>183</v>
      </c>
      <c r="F118" s="1">
        <v>20</v>
      </c>
      <c r="G118" t="s">
        <v>184</v>
      </c>
      <c r="H118" t="s">
        <v>126</v>
      </c>
      <c r="I118" t="s">
        <v>127</v>
      </c>
      <c r="J118">
        <v>4.0069999999999997</v>
      </c>
      <c r="K118" t="s">
        <v>185</v>
      </c>
    </row>
    <row r="119" spans="4:11" x14ac:dyDescent="0.35">
      <c r="E119" s="1" t="s">
        <v>186</v>
      </c>
      <c r="F119" s="1">
        <v>80</v>
      </c>
      <c r="I119" t="s">
        <v>129</v>
      </c>
      <c r="J119">
        <f>(90-20)</f>
        <v>70</v>
      </c>
      <c r="K119" t="s">
        <v>187</v>
      </c>
    </row>
    <row r="120" spans="4:11" x14ac:dyDescent="0.35">
      <c r="E120" s="1"/>
      <c r="F120" s="1"/>
      <c r="I120" t="s">
        <v>131</v>
      </c>
      <c r="J120">
        <f>F122/(J118*J119)</f>
        <v>9.2547918325911471E-2</v>
      </c>
    </row>
    <row r="121" spans="4:11" x14ac:dyDescent="0.35">
      <c r="E121" s="1"/>
      <c r="F121" s="1"/>
      <c r="I121" t="s">
        <v>132</v>
      </c>
      <c r="J121">
        <f>J120/1000</f>
        <v>9.2547918325911469E-5</v>
      </c>
    </row>
    <row r="122" spans="4:11" x14ac:dyDescent="0.35">
      <c r="E122" s="1" t="s">
        <v>175</v>
      </c>
      <c r="F122" s="1">
        <f>E37*B63*(F119-F118)</f>
        <v>25.958765611234906</v>
      </c>
      <c r="I122" t="s">
        <v>133</v>
      </c>
      <c r="J122">
        <v>1025</v>
      </c>
    </row>
    <row r="123" spans="4:11" x14ac:dyDescent="0.35">
      <c r="I123" t="s">
        <v>134</v>
      </c>
      <c r="J123">
        <f>J121/J122</f>
        <v>9.0290652025279479E-8</v>
      </c>
    </row>
    <row r="124" spans="4:11" x14ac:dyDescent="0.35">
      <c r="H124" t="s">
        <v>135</v>
      </c>
      <c r="I124" t="s">
        <v>136</v>
      </c>
      <c r="J124">
        <v>0.5</v>
      </c>
      <c r="K124" t="s">
        <v>188</v>
      </c>
    </row>
    <row r="125" spans="4:11" x14ac:dyDescent="0.35">
      <c r="I125" t="s">
        <v>137</v>
      </c>
      <c r="J125">
        <v>0.85</v>
      </c>
      <c r="K125" t="s">
        <v>189</v>
      </c>
    </row>
    <row r="126" spans="4:11" x14ac:dyDescent="0.35">
      <c r="I126" t="s">
        <v>138</v>
      </c>
      <c r="J126">
        <v>9.81</v>
      </c>
    </row>
    <row r="127" spans="4:11" x14ac:dyDescent="0.35">
      <c r="I127" t="s">
        <v>139</v>
      </c>
      <c r="J127">
        <f>(J121)*J124*J126/(J125)</f>
        <v>5.3405592869246556E-4</v>
      </c>
    </row>
    <row r="130" spans="5:9" x14ac:dyDescent="0.35">
      <c r="E130" t="s">
        <v>190</v>
      </c>
    </row>
    <row r="131" spans="5:9" x14ac:dyDescent="0.35">
      <c r="E131" t="s">
        <v>191</v>
      </c>
      <c r="F131">
        <f>MAX(0,I131-I132)</f>
        <v>0</v>
      </c>
      <c r="H131" t="s">
        <v>192</v>
      </c>
      <c r="I131">
        <f>F111+F122</f>
        <v>2053.8093269065071</v>
      </c>
    </row>
    <row r="132" spans="5:9" x14ac:dyDescent="0.35">
      <c r="E132" t="s">
        <v>193</v>
      </c>
      <c r="F132">
        <f>J127</f>
        <v>5.3405592869246556E-4</v>
      </c>
      <c r="H132" t="s">
        <v>194</v>
      </c>
      <c r="I132">
        <f>K68</f>
        <v>2121.1920625090042</v>
      </c>
    </row>
    <row r="133" spans="5:9" x14ac:dyDescent="0.35">
      <c r="E133" t="s">
        <v>195</v>
      </c>
      <c r="F133">
        <f>O80</f>
        <v>4.3639794505022374E-2</v>
      </c>
      <c r="H133" t="s">
        <v>196</v>
      </c>
      <c r="I133">
        <f>I131/I132</f>
        <v>0.96823355282463441</v>
      </c>
    </row>
    <row r="134" spans="5:9" x14ac:dyDescent="0.35">
      <c r="E134" t="s">
        <v>197</v>
      </c>
      <c r="F134">
        <f>J107</f>
        <v>4.8789645916921401E-3</v>
      </c>
    </row>
    <row r="135" spans="5:9" x14ac:dyDescent="0.35">
      <c r="E135" t="s">
        <v>198</v>
      </c>
      <c r="F135">
        <f>F89</f>
        <v>89.415460463338832</v>
      </c>
    </row>
    <row r="136" spans="5:9" x14ac:dyDescent="0.35">
      <c r="E136" t="s">
        <v>199</v>
      </c>
      <c r="F136">
        <f>-J87</f>
        <v>-32.840994452602871</v>
      </c>
    </row>
    <row r="137" spans="5:9" x14ac:dyDescent="0.35">
      <c r="E137" t="s">
        <v>200</v>
      </c>
      <c r="F137">
        <f>SUM(F131:F136)</f>
        <v>56.623518825761366</v>
      </c>
    </row>
    <row r="138" spans="5:9" x14ac:dyDescent="0.35">
      <c r="E138" t="s">
        <v>201</v>
      </c>
      <c r="F138">
        <f>B24*1000</f>
        <v>2000</v>
      </c>
    </row>
    <row r="139" spans="5:9" x14ac:dyDescent="0.35">
      <c r="E139" t="s">
        <v>202</v>
      </c>
      <c r="F139">
        <f>F138-F137</f>
        <v>1943.3764811742387</v>
      </c>
    </row>
    <row r="140" spans="5:9" x14ac:dyDescent="0.35">
      <c r="E140" t="s">
        <v>203</v>
      </c>
      <c r="F140">
        <f>B33</f>
        <v>0.47233468286099861</v>
      </c>
    </row>
    <row r="141" spans="5:9" x14ac:dyDescent="0.35">
      <c r="E141" t="s">
        <v>204</v>
      </c>
      <c r="F141">
        <f>F140*(F139/F138)</f>
        <v>0.45896205695747871</v>
      </c>
    </row>
    <row r="142" spans="5:9" x14ac:dyDescent="0.35">
      <c r="E142" t="s">
        <v>205</v>
      </c>
      <c r="F142">
        <f>F137/F138</f>
        <v>2.8311759412880683E-2</v>
      </c>
    </row>
  </sheetData>
  <mergeCells count="11">
    <mergeCell ref="I85:J85"/>
    <mergeCell ref="A23:C23"/>
    <mergeCell ref="A17:C17"/>
    <mergeCell ref="E62:H62"/>
    <mergeCell ref="E92:F92"/>
    <mergeCell ref="D35:K35"/>
    <mergeCell ref="E113:F113"/>
    <mergeCell ref="A13:C13"/>
    <mergeCell ref="E85:F85"/>
    <mergeCell ref="E115:G115"/>
    <mergeCell ref="E117:F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Feriha Mesra Aktaş</dc:creator>
  <cp:lastModifiedBy>YILDIRIM, Asu</cp:lastModifiedBy>
  <dcterms:created xsi:type="dcterms:W3CDTF">2023-12-23T14:54:29Z</dcterms:created>
  <dcterms:modified xsi:type="dcterms:W3CDTF">2026-10-19T18:58:18Z</dcterms:modified>
</cp:coreProperties>
</file>